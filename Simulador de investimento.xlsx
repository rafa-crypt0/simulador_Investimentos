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554D245-051A-4E1D-8710-9D920B2A22CF}" xr6:coauthVersionLast="47" xr6:coauthVersionMax="47" xr10:uidLastSave="{00000000-0000-0000-0000-000000000000}"/>
  <bookViews>
    <workbookView xWindow="-120" yWindow="-120" windowWidth="20730" windowHeight="11040" xr2:uid="{BCECADF6-3DFD-4B0B-A6EE-A25A1B8C7BCF}"/>
  </bookViews>
  <sheets>
    <sheet name="Planilha1" sheetId="1" r:id="rId1"/>
    <sheet name="Planilha2" sheetId="2" r:id="rId2"/>
  </sheets>
  <definedNames>
    <definedName name="Aporte">Planilha1!$C$21</definedName>
    <definedName name="Patrimonio">Planilha1!$C$24</definedName>
    <definedName name="quant_anos">Planilha1!$C$22</definedName>
    <definedName name="Rendimento_carteira">Planilha1!$C$14</definedName>
    <definedName name="Taxa_mensal">Planilha1!$C$23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4" i="1" l="1"/>
  <c r="C16" i="1"/>
  <c r="C21" i="1" s="1"/>
  <c r="C41" i="1"/>
  <c r="C42" i="1"/>
  <c r="C43" i="1"/>
  <c r="C44" i="1"/>
  <c r="C45" i="1"/>
  <c r="C40" i="1"/>
  <c r="G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7" i="1" l="1"/>
  <c r="D41" i="1" s="1"/>
  <c r="C29" i="1"/>
  <c r="D29" i="1" s="1"/>
  <c r="C31" i="1"/>
  <c r="D31" i="1" s="1"/>
  <c r="C25" i="1"/>
  <c r="C28" i="1"/>
  <c r="D28" i="1" s="1"/>
  <c r="C32" i="1"/>
  <c r="D32" i="1" s="1"/>
  <c r="D44" i="1"/>
  <c r="C30" i="1"/>
  <c r="D30" i="1" s="1"/>
  <c r="D43" i="1"/>
  <c r="D40" i="1"/>
  <c r="D42" i="1"/>
  <c r="D45" i="1"/>
  <c r="D46" i="1" l="1"/>
</calcChain>
</file>

<file path=xl/sharedStrings.xml><?xml version="1.0" encoding="utf-8"?>
<sst xmlns="http://schemas.openxmlformats.org/spreadsheetml/2006/main" count="72" uniqueCount="37">
  <si>
    <t>Quanto investir por mês?</t>
  </si>
  <si>
    <t>Por quantos anos?</t>
  </si>
  <si>
    <t>Taxa de rendimento mensal?</t>
  </si>
  <si>
    <t>Patrimonio acumulado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</si>
  <si>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</si>
  <si>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</si>
  <si>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</si>
  <si>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</si>
  <si>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</si>
  <si>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</si>
  <si>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</si>
  <si>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</si>
  <si>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</si>
  <si>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</si>
  <si>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RENDIMENTO CARTEIRA</t>
  </si>
  <si>
    <t>SALÁRIO</t>
  </si>
  <si>
    <t>PERFIL</t>
  </si>
  <si>
    <t>Conservador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</si>
  <si>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</si>
  <si>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</si>
  <si>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</si>
  <si>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</si>
  <si>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</si>
  <si>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</si>
  <si>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</si>
  <si>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Hbridos</t>
  </si>
  <si>
    <t>FOFs</t>
  </si>
  <si>
    <t>Desenvolvimento</t>
  </si>
  <si>
    <t>Hotelaria</t>
  </si>
  <si>
    <t>tipo de FII</t>
  </si>
  <si>
    <t>Perfil</t>
  </si>
  <si>
    <t>%</t>
  </si>
  <si>
    <t>chave</t>
  </si>
  <si>
    <t>Moderado</t>
  </si>
  <si>
    <t>Moderado-Tijolo</t>
  </si>
  <si>
    <t>SUGESTÃO DE INVESTIMENTO(30%)</t>
  </si>
  <si>
    <t>% de investimento sobre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</si>
</sst>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6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3743705557422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 style="dashed">
        <color indexed="64"/>
      </right>
      <top/>
      <bottom style="thin">
        <color theme="0" tint="-0.24994659260841701"/>
      </bottom>
      <diagonal/>
    </border>
    <border>
      <left/>
      <right style="dashed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dashed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dashed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2" tint="-0.24994659260841701"/>
      </bottom>
      <diagonal/>
    </border>
    <border>
      <left/>
      <right/>
      <top style="medium">
        <color auto="1"/>
      </top>
      <bottom style="thin">
        <color theme="2" tint="-0.24994659260841701"/>
      </bottom>
      <diagonal/>
    </border>
    <border>
      <left/>
      <right style="medium">
        <color auto="1"/>
      </right>
      <top style="medium">
        <color auto="1"/>
      </top>
      <bottom style="thin">
        <color theme="2" tint="-0.24994659260841701"/>
      </bottom>
      <diagonal/>
    </border>
    <border>
      <left style="medium">
        <color auto="1"/>
      </left>
      <right/>
      <top style="thin">
        <color theme="2" tint="-0.24994659260841701"/>
      </top>
      <bottom style="medium">
        <color auto="1"/>
      </bottom>
      <diagonal/>
    </border>
    <border>
      <left/>
      <right/>
      <top style="thin">
        <color theme="2" tint="-0.24994659260841701"/>
      </top>
      <bottom style="medium">
        <color auto="1"/>
      </bottom>
      <diagonal/>
    </border>
    <border>
      <left/>
      <right style="medium">
        <color auto="1"/>
      </right>
      <top style="thin">
        <color theme="2" tint="-0.24994659260841701"/>
      </top>
      <bottom style="medium">
        <color auto="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2" fillId="4" borderId="7" xfId="0" applyFont="1" applyFill="1" applyBorder="1"/>
    <xf numFmtId="0" fontId="2" fillId="4" borderId="9" xfId="0" applyFont="1" applyFill="1" applyBorder="1"/>
    <xf numFmtId="0" fontId="3" fillId="0" borderId="0" xfId="0" applyFont="1"/>
    <xf numFmtId="166" fontId="0" fillId="0" borderId="6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0" fontId="0" fillId="0" borderId="8" xfId="2" applyNumberFormat="1" applyFont="1" applyBorder="1" applyAlignment="1">
      <alignment horizontal="center"/>
    </xf>
    <xf numFmtId="8" fontId="0" fillId="4" borderId="8" xfId="0" applyNumberFormat="1" applyFill="1" applyBorder="1" applyAlignment="1">
      <alignment horizontal="center"/>
    </xf>
    <xf numFmtId="8" fontId="0" fillId="4" borderId="10" xfId="0" applyNumberFormat="1" applyFill="1" applyBorder="1" applyAlignment="1">
      <alignment horizontal="center"/>
    </xf>
    <xf numFmtId="8" fontId="0" fillId="3" borderId="12" xfId="0" applyNumberFormat="1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8" fontId="0" fillId="3" borderId="21" xfId="0" applyNumberFormat="1" applyFill="1" applyBorder="1" applyAlignment="1">
      <alignment horizontal="left"/>
    </xf>
    <xf numFmtId="8" fontId="0" fillId="3" borderId="22" xfId="0" applyNumberFormat="1" applyFill="1" applyBorder="1" applyAlignment="1">
      <alignment horizontal="left"/>
    </xf>
    <xf numFmtId="8" fontId="0" fillId="3" borderId="23" xfId="0" applyNumberForma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26" xfId="0" applyBorder="1"/>
    <xf numFmtId="164" fontId="0" fillId="0" borderId="24" xfId="2" applyNumberFormat="1" applyFont="1" applyBorder="1" applyAlignment="1">
      <alignment horizontal="center"/>
    </xf>
    <xf numFmtId="164" fontId="0" fillId="0" borderId="8" xfId="2" applyNumberFormat="1" applyFont="1" applyBorder="1" applyAlignment="1">
      <alignment horizontal="center"/>
    </xf>
    <xf numFmtId="166" fontId="0" fillId="0" borderId="27" xfId="1" applyNumberFormat="1" applyFont="1" applyBorder="1" applyAlignment="1">
      <alignment horizontal="center"/>
    </xf>
    <xf numFmtId="166" fontId="0" fillId="0" borderId="28" xfId="1" applyNumberFormat="1" applyFon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8" fontId="0" fillId="3" borderId="29" xfId="0" applyNumberFormat="1" applyFill="1" applyBorder="1" applyAlignment="1">
      <alignment horizontal="left"/>
    </xf>
    <xf numFmtId="9" fontId="0" fillId="0" borderId="0" xfId="0" applyNumberFormat="1"/>
    <xf numFmtId="0" fontId="0" fillId="0" borderId="11" xfId="0" applyBorder="1"/>
    <xf numFmtId="9" fontId="0" fillId="0" borderId="11" xfId="0" applyNumberFormat="1" applyBorder="1"/>
    <xf numFmtId="9" fontId="0" fillId="0" borderId="0" xfId="2" applyFont="1"/>
    <xf numFmtId="9" fontId="0" fillId="0" borderId="3" xfId="0" applyNumberFormat="1" applyBorder="1"/>
    <xf numFmtId="0" fontId="0" fillId="7" borderId="30" xfId="0" applyFill="1" applyBorder="1"/>
    <xf numFmtId="0" fontId="0" fillId="7" borderId="31" xfId="0" applyFill="1" applyBorder="1"/>
    <xf numFmtId="0" fontId="0" fillId="7" borderId="32" xfId="0" applyFill="1" applyBorder="1"/>
    <xf numFmtId="0" fontId="0" fillId="0" borderId="33" xfId="0" applyBorder="1"/>
    <xf numFmtId="166" fontId="0" fillId="0" borderId="34" xfId="0" applyNumberFormat="1" applyBorder="1"/>
    <xf numFmtId="0" fontId="0" fillId="7" borderId="35" xfId="0" applyFill="1" applyBorder="1"/>
    <xf numFmtId="0" fontId="0" fillId="7" borderId="36" xfId="0" applyFill="1" applyBorder="1"/>
    <xf numFmtId="166" fontId="2" fillId="7" borderId="37" xfId="0" applyNumberFormat="1" applyFont="1" applyFill="1" applyBorder="1"/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40" xfId="0" applyFill="1" applyBorder="1"/>
    <xf numFmtId="0" fontId="0" fillId="8" borderId="41" xfId="0" applyFill="1" applyBorder="1"/>
    <xf numFmtId="166" fontId="0" fillId="8" borderId="42" xfId="0" applyNumberFormat="1" applyFill="1" applyBorder="1" applyAlignment="1">
      <alignment horizontal="center"/>
    </xf>
    <xf numFmtId="0" fontId="0" fillId="8" borderId="43" xfId="0" applyFill="1" applyBorder="1"/>
    <xf numFmtId="0" fontId="0" fillId="0" borderId="44" xfId="0" applyBorder="1"/>
    <xf numFmtId="164" fontId="0" fillId="0" borderId="4" xfId="2" applyNumberFormat="1" applyFont="1" applyBorder="1" applyAlignment="1">
      <alignment horizontal="center"/>
    </xf>
    <xf numFmtId="164" fontId="0" fillId="0" borderId="45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Planilha1!$C$39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Planilha1!$C$40:$C$45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D-446C-BE53-A40828886A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0290752"/>
        <c:axId val="100295328"/>
      </c:barChart>
      <c:catAx>
        <c:axId val="10029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295328"/>
        <c:crosses val="autoZero"/>
        <c:auto val="1"/>
        <c:lblAlgn val="ctr"/>
        <c:lblOffset val="100"/>
        <c:noMultiLvlLbl val="0"/>
      </c:catAx>
      <c:valAx>
        <c:axId val="100295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2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https://targetadvisor.com.br/financas/" TargetMode="Externa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76199</xdr:colOff>
      <xdr:row>1</xdr:row>
      <xdr:rowOff>9525</xdr:rowOff>
    </xdr:from>
    <xdr:to>
      <xdr:col>2</xdr:col>
      <xdr:colOff>1765254</xdr:colOff>
      <xdr:row>8</xdr:row>
      <xdr:rowOff>57150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98566BE-539E-4A4B-A51E-020E8368B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85799" y="200025"/>
          <a:ext cx="3822655" cy="1381125"/>
        </a:xfrm>
        <a:prstGeom prst="rect">
          <a:avLst/>
        </a:prstGeom>
      </xdr:spPr>
    </xdr:pic>
    <xdr:clientData/>
  </xdr:twoCellAnchor>
  <xdr:twoCellAnchor editAs="absolute">
    <xdr:from>
      <xdr:col>0</xdr:col>
      <xdr:colOff>285751</xdr:colOff>
      <xdr:row>0</xdr:row>
      <xdr:rowOff>28575</xdr:rowOff>
    </xdr:from>
    <xdr:to>
      <xdr:col>1</xdr:col>
      <xdr:colOff>628650</xdr:colOff>
      <xdr:row>2</xdr:row>
      <xdr:rowOff>95250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59610909-3C25-4999-8173-E5D18608A1E8}"/>
            </a:ext>
          </a:extLst>
        </xdr:cNvPr>
        <xdr:cNvSpPr txBox="1"/>
      </xdr:nvSpPr>
      <xdr:spPr>
        <a:xfrm>
          <a:off x="285751" y="28575"/>
          <a:ext cx="952499" cy="4476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/>
            <a:t>INVEST</a:t>
          </a:r>
        </a:p>
      </xdr:txBody>
    </xdr:sp>
    <xdr:clientData/>
  </xdr:twoCellAnchor>
  <xdr:twoCellAnchor>
    <xdr:from>
      <xdr:col>1</xdr:col>
      <xdr:colOff>61912</xdr:colOff>
      <xdr:row>46</xdr:row>
      <xdr:rowOff>128587</xdr:rowOff>
    </xdr:from>
    <xdr:to>
      <xdr:col>3</xdr:col>
      <xdr:colOff>90487</xdr:colOff>
      <xdr:row>61</xdr:row>
      <xdr:rowOff>14287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8810AB8-2F4F-4B7A-93E3-6669D3449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6B97-6ECA-4D60-ACF7-7A56FAB71DE9}">
  <dimension ref="A11:H71"/>
  <sheetViews>
    <sheetView showGridLines="0" tabSelected="1" workbookViewId="0">
      <selection activeCell="C36" sqref="C36"/>
    </sheetView>
  </sheetViews>
  <sheetFormatPr defaultColWidth="0" defaultRowHeight="15" x14ac:dyDescent="0.25"/>
  <cols>
    <col min="1" max="1" width="9.140625" customWidth="1"/>
    <col min="2" max="2" width="32" customWidth="1"/>
    <col min="3" max="3" width="36.140625" customWidth="1"/>
    <col min="4" max="4" width="20.5703125" customWidth="1"/>
    <col min="5" max="5" width="9.140625" customWidth="1"/>
    <col min="6" max="6" width="27.42578125" bestFit="1" customWidth="1"/>
    <col min="7" max="9" width="9.140625" customWidth="1"/>
    <col min="10" max="16384" width="9.140625" hidden="1"/>
  </cols>
  <sheetData>
    <row r="11" spans="2:4" ht="15.75" thickBot="1" x14ac:dyDescent="0.3"/>
    <row r="12" spans="2:4" ht="27" thickBot="1" x14ac:dyDescent="0.45">
      <c r="B12" s="26" t="s">
        <v>13</v>
      </c>
      <c r="C12" s="27"/>
      <c r="D12" s="28"/>
    </row>
    <row r="13" spans="2:4" x14ac:dyDescent="0.25">
      <c r="B13" s="31" t="s">
        <v>15</v>
      </c>
      <c r="C13" s="34">
        <v>5000</v>
      </c>
      <c r="D13" s="35"/>
    </row>
    <row r="14" spans="2:4" x14ac:dyDescent="0.25">
      <c r="B14" s="5" t="s">
        <v>14</v>
      </c>
      <c r="C14" s="32">
        <v>0.01</v>
      </c>
      <c r="D14" s="33"/>
    </row>
    <row r="15" spans="2:4" x14ac:dyDescent="0.25">
      <c r="B15" s="57" t="s">
        <v>36</v>
      </c>
      <c r="C15" s="58">
        <v>0.3</v>
      </c>
      <c r="D15" s="59"/>
    </row>
    <row r="16" spans="2:4" ht="15.75" thickBot="1" x14ac:dyDescent="0.3">
      <c r="B16" s="29" t="s">
        <v>35</v>
      </c>
      <c r="C16" s="36">
        <f>$C$13*$C$15</f>
        <v>1500</v>
      </c>
      <c r="D16" s="30"/>
    </row>
    <row r="19" spans="1:5" ht="15.75" thickBot="1" x14ac:dyDescent="0.3"/>
    <row r="20" spans="1:5" ht="32.25" customHeight="1" x14ac:dyDescent="0.25">
      <c r="B20" s="2" t="s">
        <v>5</v>
      </c>
      <c r="C20" s="3"/>
    </row>
    <row r="21" spans="1:5" x14ac:dyDescent="0.25">
      <c r="B21" s="4" t="s">
        <v>0</v>
      </c>
      <c r="C21" s="9">
        <f>$C$16</f>
        <v>1500</v>
      </c>
    </row>
    <row r="22" spans="1:5" x14ac:dyDescent="0.25">
      <c r="B22" s="5" t="s">
        <v>1</v>
      </c>
      <c r="C22" s="10">
        <v>5</v>
      </c>
    </row>
    <row r="23" spans="1:5" x14ac:dyDescent="0.25">
      <c r="B23" s="5" t="s">
        <v>2</v>
      </c>
      <c r="C23" s="11">
        <v>1.0800000000000001E-2</v>
      </c>
    </row>
    <row r="24" spans="1:5" x14ac:dyDescent="0.25">
      <c r="B24" s="6" t="s">
        <v>3</v>
      </c>
      <c r="C24" s="12">
        <f>FV(Taxa_mensal,quant_anos*12,Aporte*-1)</f>
        <v>125706.02903888765</v>
      </c>
    </row>
    <row r="25" spans="1:5" ht="15.75" thickBot="1" x14ac:dyDescent="0.3">
      <c r="B25" s="7" t="s">
        <v>4</v>
      </c>
      <c r="C25" s="13">
        <f>Patrimonio*Rendimento_carteira</f>
        <v>1257.0602903888764</v>
      </c>
    </row>
    <row r="26" spans="1:5" ht="15.75" thickBot="1" x14ac:dyDescent="0.3"/>
    <row r="27" spans="1:5" ht="23.25" x14ac:dyDescent="0.25">
      <c r="B27" s="2" t="s">
        <v>11</v>
      </c>
      <c r="C27" s="22"/>
      <c r="D27" s="21" t="s">
        <v>12</v>
      </c>
      <c r="E27" s="3"/>
    </row>
    <row r="28" spans="1:5" x14ac:dyDescent="0.25">
      <c r="A28" s="8">
        <v>2</v>
      </c>
      <c r="B28" s="15" t="s">
        <v>6</v>
      </c>
      <c r="C28" s="23">
        <f>FV($C$23,$A28*12,$C$21*-1)</f>
        <v>40846.295490872384</v>
      </c>
      <c r="D28" s="14">
        <f>C28*Rendimento_carteira</f>
        <v>408.46295490872387</v>
      </c>
      <c r="E28" s="16"/>
    </row>
    <row r="29" spans="1:5" x14ac:dyDescent="0.25">
      <c r="A29" s="8">
        <v>5</v>
      </c>
      <c r="B29" s="17" t="s">
        <v>7</v>
      </c>
      <c r="C29" s="24">
        <f t="shared" ref="C29:C32" si="0">FV($C$23,$A29*12,$C$21*-1)</f>
        <v>125706.02903888765</v>
      </c>
      <c r="D29" s="14">
        <f>C29*Rendimento_carteira</f>
        <v>1257.0602903888764</v>
      </c>
      <c r="E29" s="18"/>
    </row>
    <row r="30" spans="1:5" x14ac:dyDescent="0.25">
      <c r="A30" s="8">
        <v>10</v>
      </c>
      <c r="B30" s="17" t="s">
        <v>8</v>
      </c>
      <c r="C30" s="24">
        <f t="shared" si="0"/>
        <v>365186.49938220013</v>
      </c>
      <c r="D30" s="14">
        <f>C30*Rendimento_carteira</f>
        <v>3651.8649938220015</v>
      </c>
      <c r="E30" s="18"/>
    </row>
    <row r="31" spans="1:5" x14ac:dyDescent="0.25">
      <c r="A31" s="8">
        <v>20</v>
      </c>
      <c r="B31" s="17" t="s">
        <v>9</v>
      </c>
      <c r="C31" s="24">
        <f t="shared" si="0"/>
        <v>1690573.4899477849</v>
      </c>
      <c r="D31" s="14">
        <f>C31*Rendimento_carteira</f>
        <v>16905.734899477851</v>
      </c>
      <c r="E31" s="18"/>
    </row>
    <row r="32" spans="1:5" ht="15.75" thickBot="1" x14ac:dyDescent="0.3">
      <c r="A32" s="8">
        <v>30</v>
      </c>
      <c r="B32" s="19" t="s">
        <v>10</v>
      </c>
      <c r="C32" s="25">
        <f t="shared" si="0"/>
        <v>6500857.2154751271</v>
      </c>
      <c r="D32" s="37">
        <f>C32*Rendimento_carteira</f>
        <v>65008.572154751273</v>
      </c>
      <c r="E32" s="20"/>
    </row>
    <row r="35" spans="2:4" ht="15.75" thickBot="1" x14ac:dyDescent="0.3"/>
    <row r="36" spans="2:4" x14ac:dyDescent="0.25">
      <c r="B36" s="51" t="s">
        <v>16</v>
      </c>
      <c r="C36" s="52" t="s">
        <v>18</v>
      </c>
      <c r="D36" s="53"/>
    </row>
    <row r="37" spans="2:4" ht="15.75" thickBot="1" x14ac:dyDescent="0.3">
      <c r="B37" s="54" t="s">
        <v>19</v>
      </c>
      <c r="C37" s="55">
        <f>Aporte</f>
        <v>1500</v>
      </c>
      <c r="D37" s="56"/>
    </row>
    <row r="38" spans="2:4" ht="15.75" thickBot="1" x14ac:dyDescent="0.3"/>
    <row r="39" spans="2:4" x14ac:dyDescent="0.25">
      <c r="B39" s="43" t="s">
        <v>20</v>
      </c>
      <c r="C39" s="44" t="s">
        <v>21</v>
      </c>
      <c r="D39" s="45" t="s">
        <v>22</v>
      </c>
    </row>
    <row r="40" spans="2:4" x14ac:dyDescent="0.25">
      <c r="B40" s="46" t="s">
        <v>23</v>
      </c>
      <c r="C40" s="42">
        <f>VLOOKUP($C$36&amp;"-"&amp;B40,Planilha2!$A:$D,4,FALSE)</f>
        <v>0.5</v>
      </c>
      <c r="D40" s="47">
        <f>C40*$C$37</f>
        <v>750</v>
      </c>
    </row>
    <row r="41" spans="2:4" x14ac:dyDescent="0.25">
      <c r="B41" s="46" t="s">
        <v>24</v>
      </c>
      <c r="C41" s="42">
        <f>VLOOKUP($C$36&amp;"-"&amp;B41,Planilha2!$A:$D,4,FALSE)</f>
        <v>0.1</v>
      </c>
      <c r="D41" s="47">
        <f t="shared" ref="D41:D45" si="1">C41*$C$37</f>
        <v>150</v>
      </c>
    </row>
    <row r="42" spans="2:4" x14ac:dyDescent="0.25">
      <c r="B42" s="46" t="s">
        <v>25</v>
      </c>
      <c r="C42" s="42">
        <f>VLOOKUP($C$36&amp;"-"&amp;B42,Planilha2!$A:$D,4,FALSE)</f>
        <v>0.05</v>
      </c>
      <c r="D42" s="47">
        <f t="shared" si="1"/>
        <v>75</v>
      </c>
    </row>
    <row r="43" spans="2:4" x14ac:dyDescent="0.25">
      <c r="B43" s="46" t="s">
        <v>26</v>
      </c>
      <c r="C43" s="42">
        <f>VLOOKUP($C$36&amp;"-"&amp;B43,Planilha2!$A:$D,4,FALSE)</f>
        <v>0.05</v>
      </c>
      <c r="D43" s="47">
        <f t="shared" si="1"/>
        <v>75</v>
      </c>
    </row>
    <row r="44" spans="2:4" x14ac:dyDescent="0.25">
      <c r="B44" s="46" t="s">
        <v>27</v>
      </c>
      <c r="C44" s="42">
        <f>VLOOKUP($C$36&amp;"-"&amp;B44,Planilha2!$A:$D,4,FALSE)</f>
        <v>0.2</v>
      </c>
      <c r="D44" s="47">
        <f t="shared" si="1"/>
        <v>300</v>
      </c>
    </row>
    <row r="45" spans="2:4" x14ac:dyDescent="0.25">
      <c r="B45" s="46" t="s">
        <v>28</v>
      </c>
      <c r="C45" s="42">
        <f>VLOOKUP($C$36&amp;"-"&amp;B45,Planilha2!$A:$D,4,FALSE)</f>
        <v>0.1</v>
      </c>
      <c r="D45" s="47">
        <f t="shared" si="1"/>
        <v>150</v>
      </c>
    </row>
    <row r="46" spans="2:4" ht="15.75" thickBot="1" x14ac:dyDescent="0.3">
      <c r="B46" s="48"/>
      <c r="C46" s="49"/>
      <c r="D46" s="50">
        <f>SUM(D40:D45)</f>
        <v>1500</v>
      </c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</sheetData>
  <mergeCells count="8">
    <mergeCell ref="B20:C20"/>
    <mergeCell ref="B27:C27"/>
    <mergeCell ref="D27:E27"/>
    <mergeCell ref="B12:D12"/>
    <mergeCell ref="C13:D13"/>
    <mergeCell ref="C14:D14"/>
    <mergeCell ref="C16:D16"/>
    <mergeCell ref="C15:D15"/>
  </mergeCells>
  <dataValidations count="1">
    <dataValidation type="list" allowBlank="1" showInputMessage="1" showErrorMessage="1" sqref="C36" xr:uid="{5C6BD360-DECD-44E7-938A-A4974220F6D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D543-1390-4ACD-98A8-3A5E311CC86F}">
  <dimension ref="A2:G20"/>
  <sheetViews>
    <sheetView workbookViewId="0">
      <selection activeCell="G4" sqref="G4"/>
    </sheetView>
  </sheetViews>
  <sheetFormatPr defaultRowHeight="15" x14ac:dyDescent="0.25"/>
  <cols>
    <col min="1" max="1" width="29.140625" bestFit="1" customWidth="1"/>
    <col min="2" max="2" width="12.140625" bestFit="1" customWidth="1"/>
    <col min="3" max="3" width="16.85546875" bestFit="1" customWidth="1"/>
    <col min="6" max="6" width="16" bestFit="1" customWidth="1"/>
  </cols>
  <sheetData>
    <row r="2" spans="1:7" x14ac:dyDescent="0.25">
      <c r="A2" t="s">
        <v>32</v>
      </c>
      <c r="B2" s="1" t="s">
        <v>30</v>
      </c>
      <c r="C2" s="1" t="s">
        <v>29</v>
      </c>
      <c r="D2" s="1" t="s">
        <v>31</v>
      </c>
    </row>
    <row r="3" spans="1:7" x14ac:dyDescent="0.25">
      <c r="A3" t="str">
        <f>B3&amp;"-"&amp;C3</f>
        <v>Conservador-Papel</v>
      </c>
      <c r="B3" t="s">
        <v>17</v>
      </c>
      <c r="C3" t="s">
        <v>23</v>
      </c>
      <c r="D3" s="38">
        <v>0.3</v>
      </c>
      <c r="G3" t="s">
        <v>31</v>
      </c>
    </row>
    <row r="4" spans="1:7" x14ac:dyDescent="0.25">
      <c r="A4" t="str">
        <f t="shared" ref="A4:A20" si="0">B4&amp;"-"&amp;C4</f>
        <v>Conservador-Tijolo</v>
      </c>
      <c r="B4" t="s">
        <v>17</v>
      </c>
      <c r="C4" t="s">
        <v>24</v>
      </c>
      <c r="D4" s="38">
        <v>0.5</v>
      </c>
      <c r="F4" t="s">
        <v>34</v>
      </c>
      <c r="G4" s="41">
        <f>VLOOKUP(F4,$A:$D,4,FALSE)</f>
        <v>0.4</v>
      </c>
    </row>
    <row r="5" spans="1:7" x14ac:dyDescent="0.25">
      <c r="A5" t="str">
        <f t="shared" si="0"/>
        <v>Conservador-Hbridos</v>
      </c>
      <c r="B5" t="s">
        <v>17</v>
      </c>
      <c r="C5" t="s">
        <v>25</v>
      </c>
      <c r="D5" s="38">
        <v>0.1</v>
      </c>
    </row>
    <row r="6" spans="1:7" x14ac:dyDescent="0.25">
      <c r="A6" t="str">
        <f t="shared" si="0"/>
        <v>Conservador-FOFs</v>
      </c>
      <c r="B6" t="s">
        <v>17</v>
      </c>
      <c r="C6" t="s">
        <v>26</v>
      </c>
      <c r="D6" s="38">
        <v>0.1</v>
      </c>
    </row>
    <row r="7" spans="1:7" x14ac:dyDescent="0.25">
      <c r="A7" t="str">
        <f t="shared" si="0"/>
        <v>Conservador-Desenvolvimento</v>
      </c>
      <c r="B7" t="s">
        <v>17</v>
      </c>
      <c r="C7" t="s">
        <v>27</v>
      </c>
      <c r="D7" s="38">
        <v>0</v>
      </c>
    </row>
    <row r="8" spans="1:7" x14ac:dyDescent="0.25">
      <c r="A8" s="39" t="str">
        <f t="shared" si="0"/>
        <v>Conservador-Hotelaria</v>
      </c>
      <c r="B8" s="39" t="s">
        <v>17</v>
      </c>
      <c r="C8" s="39" t="s">
        <v>28</v>
      </c>
      <c r="D8" s="40">
        <v>0</v>
      </c>
    </row>
    <row r="9" spans="1:7" x14ac:dyDescent="0.25">
      <c r="A9" t="str">
        <f t="shared" si="0"/>
        <v>Moderado-Papel</v>
      </c>
      <c r="B9" t="s">
        <v>33</v>
      </c>
      <c r="C9" t="s">
        <v>23</v>
      </c>
      <c r="D9" s="38">
        <v>0.32</v>
      </c>
    </row>
    <row r="10" spans="1:7" x14ac:dyDescent="0.25">
      <c r="A10" t="str">
        <f t="shared" si="0"/>
        <v>Moderado-Tijolo</v>
      </c>
      <c r="B10" t="s">
        <v>33</v>
      </c>
      <c r="C10" t="s">
        <v>24</v>
      </c>
      <c r="D10" s="38">
        <v>0.4</v>
      </c>
    </row>
    <row r="11" spans="1:7" x14ac:dyDescent="0.25">
      <c r="A11" t="str">
        <f t="shared" si="0"/>
        <v>Moderado-Hbridos</v>
      </c>
      <c r="B11" t="s">
        <v>33</v>
      </c>
      <c r="C11" t="s">
        <v>25</v>
      </c>
      <c r="D11" s="38">
        <v>0.08</v>
      </c>
    </row>
    <row r="12" spans="1:7" x14ac:dyDescent="0.25">
      <c r="A12" t="str">
        <f t="shared" si="0"/>
        <v>Moderado-FOFs</v>
      </c>
      <c r="B12" t="s">
        <v>33</v>
      </c>
      <c r="C12" t="s">
        <v>26</v>
      </c>
      <c r="D12" s="38">
        <v>0.1</v>
      </c>
    </row>
    <row r="13" spans="1:7" x14ac:dyDescent="0.25">
      <c r="A13" t="str">
        <f t="shared" si="0"/>
        <v>Moderado-Desenvolvimento</v>
      </c>
      <c r="B13" t="s">
        <v>33</v>
      </c>
      <c r="C13" t="s">
        <v>27</v>
      </c>
      <c r="D13" s="38">
        <v>0.05</v>
      </c>
    </row>
    <row r="14" spans="1:7" x14ac:dyDescent="0.25">
      <c r="A14" s="39" t="str">
        <f t="shared" si="0"/>
        <v>Moderado-Hotelaria</v>
      </c>
      <c r="B14" s="39" t="s">
        <v>33</v>
      </c>
      <c r="C14" s="39" t="s">
        <v>28</v>
      </c>
      <c r="D14" s="40">
        <v>0.05</v>
      </c>
    </row>
    <row r="15" spans="1:7" x14ac:dyDescent="0.25">
      <c r="A15" t="str">
        <f t="shared" si="0"/>
        <v>Agressivo-Papel</v>
      </c>
      <c r="B15" t="s">
        <v>18</v>
      </c>
      <c r="C15" t="s">
        <v>23</v>
      </c>
      <c r="D15" s="38">
        <v>0.5</v>
      </c>
    </row>
    <row r="16" spans="1:7" x14ac:dyDescent="0.25">
      <c r="A16" t="str">
        <f t="shared" si="0"/>
        <v>Agressivo-Tijolo</v>
      </c>
      <c r="B16" t="s">
        <v>18</v>
      </c>
      <c r="C16" t="s">
        <v>24</v>
      </c>
      <c r="D16" s="38">
        <v>0.1</v>
      </c>
    </row>
    <row r="17" spans="1:4" x14ac:dyDescent="0.25">
      <c r="A17" t="str">
        <f t="shared" si="0"/>
        <v>Agressivo-Hbridos</v>
      </c>
      <c r="B17" t="s">
        <v>18</v>
      </c>
      <c r="C17" t="s">
        <v>25</v>
      </c>
      <c r="D17" s="38">
        <v>0.05</v>
      </c>
    </row>
    <row r="18" spans="1:4" x14ac:dyDescent="0.25">
      <c r="A18" t="str">
        <f t="shared" si="0"/>
        <v>Agressivo-FOFs</v>
      </c>
      <c r="B18" t="s">
        <v>18</v>
      </c>
      <c r="C18" t="s">
        <v>26</v>
      </c>
      <c r="D18" s="38">
        <v>0.05</v>
      </c>
    </row>
    <row r="19" spans="1:4" x14ac:dyDescent="0.25">
      <c r="A19" t="str">
        <f t="shared" si="0"/>
        <v>Agressivo-Desenvolvimento</v>
      </c>
      <c r="B19" t="s">
        <v>18</v>
      </c>
      <c r="C19" t="s">
        <v>27</v>
      </c>
      <c r="D19" s="38">
        <v>0.2</v>
      </c>
    </row>
    <row r="20" spans="1:4" x14ac:dyDescent="0.25">
      <c r="A20" t="str">
        <f t="shared" si="0"/>
        <v>Agressivo-Hotelaria</v>
      </c>
      <c r="B20" t="s">
        <v>18</v>
      </c>
      <c r="C20" t="s">
        <v>28</v>
      </c>
      <c r="D20" s="3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</vt:lpstr>
      <vt:lpstr>quant_anos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</dc:creator>
  <cp:lastModifiedBy>rafael andrade</cp:lastModifiedBy>
  <dcterms:created xsi:type="dcterms:W3CDTF">2026-02-14T19:22:23Z</dcterms:created>
  <dcterms:modified xsi:type="dcterms:W3CDTF">2026-02-15T00:25:18Z</dcterms:modified>
</cp:coreProperties>
</file>